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udy notes (8th semester)\Physics Lab\"/>
    </mc:Choice>
  </mc:AlternateContent>
  <xr:revisionPtr revIDLastSave="0" documentId="13_ncr:1_{4E5BA652-04AD-4166-B494-745BC0BC7B58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Observation Tables" sheetId="1" r:id="rId1"/>
    <sheet name="T vs l Graph" sheetId="2" r:id="rId2"/>
    <sheet name="Calculation &amp; Resul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4" i="1"/>
  <c r="D7" i="3"/>
  <c r="D11" i="3" s="1"/>
  <c r="G24" i="1"/>
  <c r="I24" i="1" s="1"/>
  <c r="G23" i="1"/>
  <c r="H23" i="1" s="1"/>
  <c r="I23" i="1" s="1"/>
  <c r="G22" i="1"/>
  <c r="H22" i="1" s="1"/>
  <c r="G21" i="1"/>
  <c r="H21" i="1" s="1"/>
  <c r="G20" i="1"/>
  <c r="H20" i="1" s="1"/>
  <c r="I20" i="1" s="1"/>
  <c r="G19" i="1"/>
  <c r="H19" i="1" s="1"/>
  <c r="I19" i="1" s="1"/>
  <c r="G18" i="1"/>
  <c r="G13" i="1"/>
  <c r="H13" i="1" s="1"/>
  <c r="I13" i="1" s="1"/>
  <c r="G12" i="1"/>
  <c r="H12" i="1" s="1"/>
  <c r="I12" i="1" s="1"/>
  <c r="G11" i="1"/>
  <c r="H11" i="1" s="1"/>
  <c r="I11" i="1" s="1"/>
  <c r="G10" i="1"/>
  <c r="H10" i="1" s="1"/>
  <c r="I10" i="1" s="1"/>
  <c r="G9" i="1"/>
  <c r="H9" i="1" s="1"/>
  <c r="I9" i="1" s="1"/>
  <c r="G8" i="1"/>
  <c r="H8" i="1" s="1"/>
  <c r="I8" i="1" s="1"/>
  <c r="G7" i="1"/>
  <c r="H7" i="1" s="1"/>
  <c r="I7" i="1" s="1"/>
  <c r="I18" i="1" l="1"/>
  <c r="I21" i="1"/>
  <c r="I22" i="1"/>
  <c r="D12" i="3"/>
  <c r="D16" i="3"/>
</calcChain>
</file>

<file path=xl/sharedStrings.xml><?xml version="1.0" encoding="utf-8"?>
<sst xmlns="http://schemas.openxmlformats.org/spreadsheetml/2006/main" count="45" uniqueCount="34">
  <si>
    <t>Compound Pendulum — Observation Tables</t>
  </si>
  <si>
    <t>American International University–Bangladesh (AIUB) | Physics Lab 2 | Experiment 4</t>
  </si>
  <si>
    <t>Table 1: End-A — Time Period and Distance from Centre of Gravity</t>
  </si>
  <si>
    <t>Hole No.</t>
  </si>
  <si>
    <t>Distance from CG
l (cm)</t>
  </si>
  <si>
    <t>l (cm)
[for graph]</t>
  </si>
  <si>
    <t>Time (1)
20 osc (s)</t>
  </si>
  <si>
    <t>Time (2)
20 osc (s)</t>
  </si>
  <si>
    <t>Mean Time
t (s)</t>
  </si>
  <si>
    <t>Period
T = t/20 (s)</t>
  </si>
  <si>
    <t>T²
(s²)</t>
  </si>
  <si>
    <t>Table 2: End-B — Time Period and Distance from Centre of Gravity</t>
  </si>
  <si>
    <t>Note: Blue cells contain Excel formulas. Column D 'l (cm) [for graph]' uses positive values for End-A (right side of x-axis) and negative values for End-B (left side). T = 1.56 s horizontal reference line is drawn on the graph sheet.</t>
  </si>
  <si>
    <t>l End-A (cm)</t>
  </si>
  <si>
    <t>T End-A (s)</t>
  </si>
  <si>
    <t>l End-B (cm)</t>
  </si>
  <si>
    <t>T End-B (s)</t>
  </si>
  <si>
    <t>Calculation and Result — Compound Pendulum</t>
  </si>
  <si>
    <t>From the T vs l Graph:</t>
  </si>
  <si>
    <t>Length AC (End-A horizontal span)</t>
  </si>
  <si>
    <t>cm</t>
  </si>
  <si>
    <t>Length BD (End-B horizontal span)</t>
  </si>
  <si>
    <t>L = (AC + BD) / 2</t>
  </si>
  <si>
    <t>Time period at horizontal line T</t>
  </si>
  <si>
    <t>s</t>
  </si>
  <si>
    <t>Calculation of g:</t>
  </si>
  <si>
    <t>g = 4π²L / T²  (L in cm → cm/s²)</t>
  </si>
  <si>
    <t>cm/s²</t>
  </si>
  <si>
    <t>g  (in m/s²)</t>
  </si>
  <si>
    <t>m/s²</t>
  </si>
  <si>
    <t>Error Calculation:</t>
  </si>
  <si>
    <t>Standard value of g</t>
  </si>
  <si>
    <t>% Error = |exp − std| / std × 100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</si>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</sst>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70C0"/>
      <name val="Arial"/>
    </font>
    <font>
      <i/>
      <sz val="9"/>
      <color rgb="FF595959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sz val="10"/>
      <color rgb="FF000000"/>
      <name val="Arial"/>
    </font>
    <font>
      <sz val="10"/>
      <color rgb="FF595959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C00000"/>
      </patternFill>
    </fill>
    <fill>
      <patternFill patternType="solid">
        <fgColor rgb="FFFDEAEA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0" fontId="4" fillId="0" borderId="1" xfId="0" applyFont="1" applyBorder="1"/>
    <xf numFmtId="0" fontId="0" fillId="0" borderId="1" xfId="0" applyBorder="1"/>
    <xf numFmtId="0" fontId="9" fillId="0" borderId="1" xfId="0" applyFont="1" applyBorder="1"/>
    <xf numFmtId="0" fontId="10" fillId="0" borderId="1" xfId="0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1" fillId="8" borderId="0" xfId="0" applyFont="1" applyFill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T vs l  (Time Period vs Distance from Centre of Gravity)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 vs l Graph'!$C$2</c:f>
              <c:strCache>
                <c:ptCount val="1"/>
                <c:pt idx="0">
                  <c:v>T End-A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'T vs l Graph'!$B$3:$B$9</c:f>
              <c:numCache>
                <c:formatCode>0.000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'T vs l Graph'!$C$3:$C$9</c:f>
              <c:numCache>
                <c:formatCode>0.000</c:formatCode>
                <c:ptCount val="7"/>
                <c:pt idx="0">
                  <c:v>0.85499999999999998</c:v>
                </c:pt>
                <c:pt idx="1">
                  <c:v>0.80200000000000005</c:v>
                </c:pt>
                <c:pt idx="2">
                  <c:v>0.77649999999999997</c:v>
                </c:pt>
                <c:pt idx="3">
                  <c:v>0.76524999999999999</c:v>
                </c:pt>
                <c:pt idx="4">
                  <c:v>0.76449999999999996</c:v>
                </c:pt>
                <c:pt idx="5">
                  <c:v>0.77600000000000002</c:v>
                </c:pt>
                <c:pt idx="6">
                  <c:v>0.79349999999999998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4-4F21-94D7-290F08BC566F}"/>
            </c:ext>
          </c:extLst>
        </c:ser>
        <c:ser>
          <c:idx val="1"/>
          <c:order val="1"/>
          <c:tx>
            <c:strRef>
              <c:f>'T vs l Graph'!$F$2</c:f>
              <c:strCache>
                <c:ptCount val="1"/>
                <c:pt idx="0">
                  <c:v>T End-B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'T vs l Graph'!$E$3:$E$9</c:f>
              <c:numCache>
                <c:formatCode>0.000</c:formatCode>
                <c:ptCount val="7"/>
                <c:pt idx="0">
                  <c:v>-45</c:v>
                </c:pt>
                <c:pt idx="1">
                  <c:v>-40</c:v>
                </c:pt>
                <c:pt idx="2">
                  <c:v>-35</c:v>
                </c:pt>
                <c:pt idx="3">
                  <c:v>-30</c:v>
                </c:pt>
                <c:pt idx="4">
                  <c:v>-25</c:v>
                </c:pt>
                <c:pt idx="5">
                  <c:v>-20</c:v>
                </c:pt>
                <c:pt idx="6">
                  <c:v>-15</c:v>
                </c:pt>
              </c:numCache>
            </c:numRef>
          </c:xVal>
          <c:yVal>
            <c:numRef>
              <c:f>'T vs l Graph'!$F$3:$F$9</c:f>
              <c:numCache>
                <c:formatCode>0.000</c:formatCode>
                <c:ptCount val="7"/>
                <c:pt idx="0">
                  <c:v>0.80599999999999983</c:v>
                </c:pt>
                <c:pt idx="1">
                  <c:v>0.78325</c:v>
                </c:pt>
                <c:pt idx="2">
                  <c:v>0.76575000000000004</c:v>
                </c:pt>
                <c:pt idx="3">
                  <c:v>0.76150000000000007</c:v>
                </c:pt>
                <c:pt idx="4">
                  <c:v>0.76824999999999999</c:v>
                </c:pt>
                <c:pt idx="5">
                  <c:v>0.79474999999999996</c:v>
                </c:pt>
                <c:pt idx="6">
                  <c:v>0.84499999999999997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4-4F21-94D7-290F08BC5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l 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  <c:majorUnit val="10"/>
      </c:valAx>
      <c:valAx>
        <c:axId val="20"/>
        <c:scaling>
          <c:orientation val="minMax"/>
          <c:max val="0.88"/>
          <c:min val="0.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T 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  <c:majorUnit val="0.0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</xdr:row>
      <xdr:rowOff>76200</xdr:rowOff>
    </xdr:from>
    <xdr:to>
      <xdr:col>22</xdr:col>
      <xdr:colOff>114300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workbookViewId="0">
      <selection activeCell="G7" sqref="G7"/>
    </sheetView>
  </sheetViews>
  <sheetFormatPr defaultRowHeight="14.4" x14ac:dyDescent="0.3"/>
  <cols>
    <col min="1" max="1" width="2" customWidth="1"/>
    <col min="2" max="2" width="9" customWidth="1"/>
    <col min="3" max="6" width="14" customWidth="1"/>
    <col min="7" max="8" width="12" customWidth="1"/>
    <col min="9" max="9" width="11" customWidth="1"/>
  </cols>
  <sheetData>
    <row r="2" spans="2:9" x14ac:dyDescent="0.3">
      <c r="B2" s="28" t="s">
        <v>0</v>
      </c>
      <c r="C2" s="27"/>
      <c r="D2" s="27"/>
      <c r="E2" s="27"/>
      <c r="F2" s="27"/>
      <c r="G2" s="27"/>
      <c r="H2" s="27"/>
      <c r="I2" s="27"/>
    </row>
    <row r="3" spans="2:9" x14ac:dyDescent="0.3">
      <c r="B3" s="29" t="s">
        <v>1</v>
      </c>
      <c r="C3" s="27"/>
      <c r="D3" s="27"/>
      <c r="E3" s="27"/>
      <c r="F3" s="27"/>
      <c r="G3" s="27"/>
      <c r="H3" s="27"/>
      <c r="I3" s="27"/>
    </row>
    <row r="5" spans="2:9" x14ac:dyDescent="0.3">
      <c r="B5" s="30" t="s">
        <v>2</v>
      </c>
      <c r="C5" s="27"/>
      <c r="D5" s="27"/>
      <c r="E5" s="27"/>
      <c r="F5" s="27"/>
      <c r="G5" s="27"/>
      <c r="H5" s="27"/>
      <c r="I5" s="27"/>
    </row>
    <row r="6" spans="2:9" ht="36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</row>
    <row r="7" spans="2:9" x14ac:dyDescent="0.3">
      <c r="B7" s="2">
        <v>1</v>
      </c>
      <c r="C7" s="2">
        <v>45</v>
      </c>
      <c r="D7" s="2">
        <v>45</v>
      </c>
      <c r="E7" s="2">
        <v>15.72</v>
      </c>
      <c r="F7" s="2">
        <v>16.02</v>
      </c>
      <c r="G7" s="3">
        <f t="shared" ref="G7:G13" si="0">AVERAGE(E7,F7)</f>
        <v>15.870000000000001</v>
      </c>
      <c r="H7" s="3">
        <f t="shared" ref="H7:H13" si="1">G7/20</f>
        <v>0.79350000000000009</v>
      </c>
      <c r="I7" s="3">
        <f t="shared" ref="I7:I13" si="2">H7^2</f>
        <v>0.62964225000000018</v>
      </c>
    </row>
    <row r="8" spans="2:9" x14ac:dyDescent="0.3">
      <c r="B8" s="4">
        <v>2</v>
      </c>
      <c r="C8" s="4">
        <v>40</v>
      </c>
      <c r="D8" s="4">
        <v>40</v>
      </c>
      <c r="E8" s="4">
        <v>15.63</v>
      </c>
      <c r="F8" s="4">
        <v>15.41</v>
      </c>
      <c r="G8" s="5">
        <f t="shared" si="0"/>
        <v>15.52</v>
      </c>
      <c r="H8" s="5">
        <f t="shared" si="1"/>
        <v>0.77600000000000002</v>
      </c>
      <c r="I8" s="5">
        <f t="shared" si="2"/>
        <v>0.60217600000000004</v>
      </c>
    </row>
    <row r="9" spans="2:9" x14ac:dyDescent="0.3">
      <c r="B9" s="2">
        <v>3</v>
      </c>
      <c r="C9" s="2">
        <v>35</v>
      </c>
      <c r="D9" s="2">
        <v>35</v>
      </c>
      <c r="E9" s="2">
        <v>15.49</v>
      </c>
      <c r="F9" s="2">
        <v>15.09</v>
      </c>
      <c r="G9" s="3">
        <f t="shared" si="0"/>
        <v>15.29</v>
      </c>
      <c r="H9" s="3">
        <f t="shared" si="1"/>
        <v>0.76449999999999996</v>
      </c>
      <c r="I9" s="3">
        <f t="shared" si="2"/>
        <v>0.5844602499999999</v>
      </c>
    </row>
    <row r="10" spans="2:9" x14ac:dyDescent="0.3">
      <c r="B10" s="4">
        <v>4</v>
      </c>
      <c r="C10" s="4">
        <v>30</v>
      </c>
      <c r="D10" s="4">
        <v>30</v>
      </c>
      <c r="E10" s="4">
        <v>15.28</v>
      </c>
      <c r="F10" s="4">
        <v>15.33</v>
      </c>
      <c r="G10" s="5">
        <f t="shared" si="0"/>
        <v>15.305</v>
      </c>
      <c r="H10" s="5">
        <f t="shared" si="1"/>
        <v>0.76524999999999999</v>
      </c>
      <c r="I10" s="5">
        <f t="shared" si="2"/>
        <v>0.58560756250000001</v>
      </c>
    </row>
    <row r="11" spans="2:9" x14ac:dyDescent="0.3">
      <c r="B11" s="2">
        <v>5</v>
      </c>
      <c r="C11" s="2">
        <v>25</v>
      </c>
      <c r="D11" s="2">
        <v>25</v>
      </c>
      <c r="E11" s="2">
        <v>15.43</v>
      </c>
      <c r="F11" s="2">
        <v>15.63</v>
      </c>
      <c r="G11" s="3">
        <f t="shared" si="0"/>
        <v>15.530000000000001</v>
      </c>
      <c r="H11" s="3">
        <f t="shared" si="1"/>
        <v>0.77650000000000008</v>
      </c>
      <c r="I11" s="3">
        <f t="shared" si="2"/>
        <v>0.60295225000000008</v>
      </c>
    </row>
    <row r="12" spans="2:9" x14ac:dyDescent="0.3">
      <c r="B12" s="4">
        <v>6</v>
      </c>
      <c r="C12" s="4">
        <v>20</v>
      </c>
      <c r="D12" s="4">
        <v>20</v>
      </c>
      <c r="E12" s="4">
        <v>15.87</v>
      </c>
      <c r="F12" s="4">
        <v>16.21</v>
      </c>
      <c r="G12" s="5">
        <f t="shared" si="0"/>
        <v>16.04</v>
      </c>
      <c r="H12" s="5">
        <f t="shared" si="1"/>
        <v>0.80199999999999994</v>
      </c>
      <c r="I12" s="5">
        <f t="shared" si="2"/>
        <v>0.64320399999999989</v>
      </c>
    </row>
    <row r="13" spans="2:9" x14ac:dyDescent="0.3">
      <c r="B13" s="2">
        <v>7</v>
      </c>
      <c r="C13" s="2">
        <v>15</v>
      </c>
      <c r="D13" s="2">
        <v>15</v>
      </c>
      <c r="E13" s="2">
        <v>17.12</v>
      </c>
      <c r="F13" s="2">
        <v>17.059999999999999</v>
      </c>
      <c r="G13" s="3">
        <f t="shared" si="0"/>
        <v>17.09</v>
      </c>
      <c r="H13" s="3">
        <f t="shared" si="1"/>
        <v>0.85450000000000004</v>
      </c>
      <c r="I13" s="3">
        <f t="shared" si="2"/>
        <v>0.73017025000000002</v>
      </c>
    </row>
    <row r="16" spans="2:9" x14ac:dyDescent="0.3">
      <c r="B16" s="26" t="s">
        <v>11</v>
      </c>
      <c r="C16" s="27"/>
      <c r="D16" s="27"/>
      <c r="E16" s="27"/>
      <c r="F16" s="27"/>
      <c r="G16" s="27"/>
      <c r="H16" s="27"/>
      <c r="I16" s="27"/>
    </row>
    <row r="17" spans="2:9" ht="36" customHeight="1" x14ac:dyDescent="0.3"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  <c r="I17" s="6" t="s">
        <v>10</v>
      </c>
    </row>
    <row r="18" spans="2:9" x14ac:dyDescent="0.3">
      <c r="B18" s="7">
        <v>1</v>
      </c>
      <c r="C18" s="7">
        <v>45</v>
      </c>
      <c r="D18" s="7">
        <v>-45</v>
      </c>
      <c r="E18" s="7">
        <v>16.149999999999999</v>
      </c>
      <c r="F18" s="7">
        <v>16.09</v>
      </c>
      <c r="G18" s="8">
        <f t="shared" ref="G18:G24" si="3">AVERAGE(E18,F18)</f>
        <v>16.119999999999997</v>
      </c>
      <c r="H18" s="8">
        <f t="shared" ref="H18:H24" si="4">G18/20</f>
        <v>0.80599999999999983</v>
      </c>
      <c r="I18" s="8">
        <f t="shared" ref="I18:I24" si="5">H18^2</f>
        <v>0.64963599999999977</v>
      </c>
    </row>
    <row r="19" spans="2:9" x14ac:dyDescent="0.3">
      <c r="B19" s="4">
        <v>2</v>
      </c>
      <c r="C19" s="4">
        <v>40</v>
      </c>
      <c r="D19" s="4">
        <v>-40</v>
      </c>
      <c r="E19" s="4">
        <v>15.63</v>
      </c>
      <c r="F19" s="4">
        <v>15.7</v>
      </c>
      <c r="G19" s="5">
        <f t="shared" si="3"/>
        <v>15.664999999999999</v>
      </c>
      <c r="H19" s="5">
        <f t="shared" si="4"/>
        <v>0.78325</v>
      </c>
      <c r="I19" s="5">
        <f t="shared" si="5"/>
        <v>0.61348056250000005</v>
      </c>
    </row>
    <row r="20" spans="2:9" x14ac:dyDescent="0.3">
      <c r="B20" s="7">
        <v>3</v>
      </c>
      <c r="C20" s="7">
        <v>35</v>
      </c>
      <c r="D20" s="7">
        <v>-35</v>
      </c>
      <c r="E20" s="7">
        <v>15.32</v>
      </c>
      <c r="F20" s="7">
        <v>15.31</v>
      </c>
      <c r="G20" s="8">
        <f t="shared" si="3"/>
        <v>15.315000000000001</v>
      </c>
      <c r="H20" s="8">
        <f t="shared" si="4"/>
        <v>0.76575000000000004</v>
      </c>
      <c r="I20" s="8">
        <f t="shared" si="5"/>
        <v>0.5863730625000001</v>
      </c>
    </row>
    <row r="21" spans="2:9" x14ac:dyDescent="0.3">
      <c r="B21" s="4">
        <v>4</v>
      </c>
      <c r="C21" s="4">
        <v>30</v>
      </c>
      <c r="D21" s="4">
        <v>-30</v>
      </c>
      <c r="E21" s="4">
        <v>15.24</v>
      </c>
      <c r="F21" s="4">
        <v>15.22</v>
      </c>
      <c r="G21" s="5">
        <f t="shared" si="3"/>
        <v>15.23</v>
      </c>
      <c r="H21" s="5">
        <f t="shared" si="4"/>
        <v>0.76150000000000007</v>
      </c>
      <c r="I21" s="5">
        <f t="shared" si="5"/>
        <v>0.57988225000000015</v>
      </c>
    </row>
    <row r="22" spans="2:9" x14ac:dyDescent="0.3">
      <c r="B22" s="7">
        <v>5</v>
      </c>
      <c r="C22" s="7">
        <v>25</v>
      </c>
      <c r="D22" s="7">
        <v>-25</v>
      </c>
      <c r="E22" s="7">
        <v>15.39</v>
      </c>
      <c r="F22" s="7">
        <v>15.34</v>
      </c>
      <c r="G22" s="8">
        <f t="shared" si="3"/>
        <v>15.365</v>
      </c>
      <c r="H22" s="8">
        <f t="shared" si="4"/>
        <v>0.76824999999999999</v>
      </c>
      <c r="I22" s="8">
        <f t="shared" si="5"/>
        <v>0.59020806250000002</v>
      </c>
    </row>
    <row r="23" spans="2:9" x14ac:dyDescent="0.3">
      <c r="B23" s="4">
        <v>6</v>
      </c>
      <c r="C23" s="4">
        <v>20</v>
      </c>
      <c r="D23" s="4">
        <v>-20</v>
      </c>
      <c r="E23" s="4">
        <v>15.86</v>
      </c>
      <c r="F23" s="4">
        <v>15.93</v>
      </c>
      <c r="G23" s="5">
        <f t="shared" si="3"/>
        <v>15.895</v>
      </c>
      <c r="H23" s="5">
        <f t="shared" si="4"/>
        <v>0.79474999999999996</v>
      </c>
      <c r="I23" s="5">
        <f t="shared" si="5"/>
        <v>0.63162756249999996</v>
      </c>
    </row>
    <row r="24" spans="2:9" x14ac:dyDescent="0.3">
      <c r="B24" s="7">
        <v>7</v>
      </c>
      <c r="C24" s="7">
        <v>15</v>
      </c>
      <c r="D24" s="7">
        <v>-15</v>
      </c>
      <c r="E24" s="7">
        <v>16.829999999999998</v>
      </c>
      <c r="F24" s="7">
        <v>16.97</v>
      </c>
      <c r="G24" s="8">
        <f t="shared" si="3"/>
        <v>16.899999999999999</v>
      </c>
      <c r="H24" s="8">
        <f t="shared" si="4"/>
        <v>0.84499999999999997</v>
      </c>
      <c r="I24" s="8">
        <f t="shared" si="5"/>
        <v>0.71402499999999991</v>
      </c>
    </row>
    <row r="26" spans="2:9" ht="31.95" customHeight="1" x14ac:dyDescent="0.3">
      <c r="B26" s="31" t="s">
        <v>12</v>
      </c>
      <c r="C26" s="27"/>
      <c r="D26" s="27"/>
      <c r="E26" s="27"/>
      <c r="F26" s="27"/>
      <c r="G26" s="27"/>
      <c r="H26" s="27"/>
      <c r="I26" s="27"/>
    </row>
  </sheetData>
  <mergeCells count="5">
    <mergeCell ref="B16:I16"/>
    <mergeCell ref="B2:I2"/>
    <mergeCell ref="B3:I3"/>
    <mergeCell ref="B5:I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9"/>
  <sheetViews>
    <sheetView tabSelected="1" zoomScale="84" workbookViewId="0">
      <selection activeCell="F30" sqref="F30"/>
    </sheetView>
  </sheetViews>
  <sheetFormatPr defaultRowHeight="14.4" x14ac:dyDescent="0.3"/>
  <cols>
    <col min="2" max="3" width="10" customWidth="1"/>
    <col min="4" max="4" width="3" customWidth="1"/>
    <col min="5" max="6" width="10" customWidth="1"/>
    <col min="7" max="7" width="3" customWidth="1"/>
    <col min="8" max="8" width="18" customWidth="1"/>
    <col min="9" max="9" width="12" customWidth="1"/>
  </cols>
  <sheetData>
    <row r="2" spans="2:9" x14ac:dyDescent="0.3">
      <c r="B2" s="21" t="s">
        <v>13</v>
      </c>
      <c r="C2" s="21" t="s">
        <v>14</v>
      </c>
      <c r="E2" s="22" t="s">
        <v>15</v>
      </c>
      <c r="F2" s="22" t="s">
        <v>16</v>
      </c>
      <c r="H2" s="9"/>
    </row>
    <row r="3" spans="2:9" x14ac:dyDescent="0.3">
      <c r="B3" s="23">
        <v>15</v>
      </c>
      <c r="C3" s="23">
        <v>0.85499999999999998</v>
      </c>
      <c r="E3" s="24">
        <v>-45</v>
      </c>
      <c r="F3" s="24">
        <v>0.80599999999999983</v>
      </c>
      <c r="H3" s="10"/>
      <c r="I3" s="11"/>
    </row>
    <row r="4" spans="2:9" x14ac:dyDescent="0.3">
      <c r="B4" s="25">
        <v>20</v>
      </c>
      <c r="C4" s="25">
        <v>0.80200000000000005</v>
      </c>
      <c r="E4" s="25">
        <v>-40</v>
      </c>
      <c r="F4" s="25">
        <v>0.78325</v>
      </c>
      <c r="H4" s="10"/>
      <c r="I4" s="11"/>
    </row>
    <row r="5" spans="2:9" x14ac:dyDescent="0.3">
      <c r="B5" s="25">
        <v>25</v>
      </c>
      <c r="C5" s="25">
        <v>0.77649999999999997</v>
      </c>
      <c r="E5" s="25">
        <v>-35</v>
      </c>
      <c r="F5" s="25">
        <v>0.76575000000000004</v>
      </c>
      <c r="H5" s="10"/>
      <c r="I5" s="11"/>
    </row>
    <row r="6" spans="2:9" x14ac:dyDescent="0.3">
      <c r="B6" s="25">
        <v>30</v>
      </c>
      <c r="C6" s="25">
        <v>0.76524999999999999</v>
      </c>
      <c r="E6" s="25">
        <v>-30</v>
      </c>
      <c r="F6" s="25">
        <v>0.76150000000000007</v>
      </c>
      <c r="H6" s="10"/>
      <c r="I6" s="12"/>
    </row>
    <row r="7" spans="2:9" x14ac:dyDescent="0.3">
      <c r="B7" s="25">
        <v>35</v>
      </c>
      <c r="C7" s="25">
        <v>0.76449999999999996</v>
      </c>
      <c r="E7" s="25">
        <v>-25</v>
      </c>
      <c r="F7" s="25">
        <v>0.76824999999999999</v>
      </c>
      <c r="H7" s="10"/>
      <c r="I7" s="13"/>
    </row>
    <row r="8" spans="2:9" x14ac:dyDescent="0.3">
      <c r="B8" s="25">
        <v>40</v>
      </c>
      <c r="C8" s="25">
        <v>0.77600000000000002</v>
      </c>
      <c r="E8" s="25">
        <v>-20</v>
      </c>
      <c r="F8" s="25">
        <v>0.79474999999999996</v>
      </c>
      <c r="H8" s="10"/>
      <c r="I8" s="11"/>
    </row>
    <row r="9" spans="2:9" x14ac:dyDescent="0.3">
      <c r="B9" s="25">
        <v>45</v>
      </c>
      <c r="C9" s="25">
        <v>0.79349999999999998</v>
      </c>
      <c r="E9" s="25">
        <v>-15</v>
      </c>
      <c r="F9" s="25">
        <v>0.84499999999999997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6"/>
  <sheetViews>
    <sheetView workbookViewId="0"/>
  </sheetViews>
  <sheetFormatPr defaultRowHeight="14.4" x14ac:dyDescent="0.3"/>
  <cols>
    <col min="1" max="1" width="2" customWidth="1"/>
    <col min="2" max="2" width="38" customWidth="1"/>
    <col min="3" max="3" width="3" customWidth="1"/>
    <col min="4" max="4" width="14" customWidth="1"/>
    <col min="5" max="5" width="10" customWidth="1"/>
    <col min="6" max="6" width="2" customWidth="1"/>
  </cols>
  <sheetData>
    <row r="2" spans="2:6" x14ac:dyDescent="0.3">
      <c r="B2" s="32" t="s">
        <v>17</v>
      </c>
      <c r="C2" s="27"/>
      <c r="D2" s="27"/>
      <c r="E2" s="27"/>
      <c r="F2" s="27"/>
    </row>
    <row r="4" spans="2:6" x14ac:dyDescent="0.3">
      <c r="B4" s="33" t="s">
        <v>18</v>
      </c>
      <c r="C4" s="27"/>
      <c r="D4" s="27"/>
      <c r="E4" s="27"/>
      <c r="F4" s="27"/>
    </row>
    <row r="5" spans="2:6" x14ac:dyDescent="0.3">
      <c r="B5" s="14" t="s">
        <v>19</v>
      </c>
      <c r="C5" s="15"/>
      <c r="D5" s="16">
        <v>62</v>
      </c>
      <c r="E5" s="17" t="s">
        <v>20</v>
      </c>
    </row>
    <row r="6" spans="2:6" x14ac:dyDescent="0.3">
      <c r="B6" s="14" t="s">
        <v>21</v>
      </c>
      <c r="C6" s="15"/>
      <c r="D6" s="16">
        <v>59</v>
      </c>
      <c r="E6" s="17" t="s">
        <v>20</v>
      </c>
    </row>
    <row r="7" spans="2:6" x14ac:dyDescent="0.3">
      <c r="B7" s="14" t="s">
        <v>22</v>
      </c>
      <c r="C7" s="15"/>
      <c r="D7" s="18">
        <f>(D5+D6)/2</f>
        <v>60.5</v>
      </c>
      <c r="E7" s="17" t="s">
        <v>20</v>
      </c>
    </row>
    <row r="8" spans="2:6" x14ac:dyDescent="0.3">
      <c r="B8" s="14" t="s">
        <v>23</v>
      </c>
      <c r="C8" s="15"/>
      <c r="D8" s="16">
        <v>1.56</v>
      </c>
      <c r="E8" s="17" t="s">
        <v>24</v>
      </c>
    </row>
    <row r="10" spans="2:6" x14ac:dyDescent="0.3">
      <c r="B10" s="33" t="s">
        <v>25</v>
      </c>
      <c r="C10" s="27"/>
      <c r="D10" s="27"/>
      <c r="E10" s="27"/>
      <c r="F10" s="27"/>
    </row>
    <row r="11" spans="2:6" x14ac:dyDescent="0.3">
      <c r="B11" s="14" t="s">
        <v>26</v>
      </c>
      <c r="C11" s="15"/>
      <c r="D11" s="19">
        <f>4*PI()^2*D7/D8^2</f>
        <v>981.44488209386282</v>
      </c>
      <c r="E11" s="17" t="s">
        <v>27</v>
      </c>
    </row>
    <row r="12" spans="2:6" x14ac:dyDescent="0.3">
      <c r="B12" s="14" t="s">
        <v>28</v>
      </c>
      <c r="C12" s="15"/>
      <c r="D12" s="20">
        <f>D11/100</f>
        <v>9.8144488209386278</v>
      </c>
      <c r="E12" s="17" t="s">
        <v>29</v>
      </c>
    </row>
    <row r="14" spans="2:6" x14ac:dyDescent="0.3">
      <c r="B14" s="33" t="s">
        <v>30</v>
      </c>
      <c r="C14" s="27"/>
      <c r="D14" s="27"/>
      <c r="E14" s="27"/>
      <c r="F14" s="27"/>
    </row>
    <row r="15" spans="2:6" x14ac:dyDescent="0.3">
      <c r="B15" s="14" t="s">
        <v>31</v>
      </c>
      <c r="C15" s="15"/>
      <c r="D15" s="16">
        <v>980</v>
      </c>
      <c r="E15" s="17" t="s">
        <v>27</v>
      </c>
    </row>
    <row r="16" spans="2:6" x14ac:dyDescent="0.3">
      <c r="B16" s="14" t="s">
        <v>32</v>
      </c>
      <c r="C16" s="15"/>
      <c r="D16" s="19">
        <f>ABS(D11-D15)/D15*100</f>
        <v>0.14743694835334858</v>
      </c>
      <c r="E16" s="17" t="s">
        <v>33</v>
      </c>
    </row>
  </sheetData>
  <mergeCells count="4">
    <mergeCell ref="B2:F2"/>
    <mergeCell ref="B4:F4"/>
    <mergeCell ref="B10:F10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Observation Tables</vt:lpstr>
      <vt:lpstr>T vs l Graph</vt:lpstr>
      <vt:lpstr>Calculation &amp;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PROTTOY ROY</cp:lastModifiedBy>
  <dcterms:created xsi:type="dcterms:W3CDTF">2026-04-17T06:39:05Z</dcterms:created>
  <dcterms:modified xsi:type="dcterms:W3CDTF">2026-04-20T02:59:51Z</dcterms:modified>
</cp:coreProperties>
</file>