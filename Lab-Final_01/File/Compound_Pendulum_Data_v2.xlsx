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tudy notes (8th semester)\Physics Lab\"/>
    </mc:Choice>
  </mc:AlternateContent>
  <xr:revisionPtr revIDLastSave="0" documentId="13_ncr:1_{6C2D0305-0298-45CF-A4B1-730BBA32CD1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Observation Tables" sheetId="1" r:id="rId1"/>
    <sheet name="T vs l Graph" sheetId="2" r:id="rId2"/>
    <sheet name="Calculation &amp; Resul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3" l="1"/>
  <c r="D11" i="3" s="1"/>
  <c r="G24" i="1"/>
  <c r="H24" i="1" s="1"/>
  <c r="I24" i="1" s="1"/>
  <c r="G23" i="1"/>
  <c r="H23" i="1" s="1"/>
  <c r="I23" i="1" s="1"/>
  <c r="G22" i="1"/>
  <c r="H22" i="1" s="1"/>
  <c r="I22" i="1" s="1"/>
  <c r="G21" i="1"/>
  <c r="H21" i="1" s="1"/>
  <c r="I21" i="1" s="1"/>
  <c r="G20" i="1"/>
  <c r="H20" i="1" s="1"/>
  <c r="I20" i="1" s="1"/>
  <c r="G19" i="1"/>
  <c r="H19" i="1" s="1"/>
  <c r="I19" i="1" s="1"/>
  <c r="G18" i="1"/>
  <c r="H18" i="1" s="1"/>
  <c r="I18" i="1" s="1"/>
  <c r="G13" i="1"/>
  <c r="H13" i="1" s="1"/>
  <c r="I13" i="1" s="1"/>
  <c r="G12" i="1"/>
  <c r="H12" i="1" s="1"/>
  <c r="I12" i="1" s="1"/>
  <c r="G11" i="1"/>
  <c r="H11" i="1" s="1"/>
  <c r="I11" i="1" s="1"/>
  <c r="G10" i="1"/>
  <c r="H10" i="1" s="1"/>
  <c r="I10" i="1" s="1"/>
  <c r="G9" i="1"/>
  <c r="H9" i="1" s="1"/>
  <c r="I9" i="1" s="1"/>
  <c r="G8" i="1"/>
  <c r="H8" i="1" s="1"/>
  <c r="I8" i="1" s="1"/>
  <c r="G7" i="1"/>
  <c r="H7" i="1" s="1"/>
  <c r="I7" i="1" s="1"/>
  <c r="D12" i="3" l="1"/>
  <c r="D16" i="3"/>
</calcChain>
</file>

<file path=xl/sharedStrings.xml><?xml version="1.0" encoding="utf-8"?>
<sst xmlns="http://schemas.openxmlformats.org/spreadsheetml/2006/main" count="45" uniqueCount="34">
  <si>
    <t>Compound Pendulum — Observation Tables</t>
  </si>
  <si>
    <t>American International University–Bangladesh (AIUB) | Physics Lab 2 | Experiment 4</t>
  </si>
  <si>
    <t>Table 1: End-A — Time Period and Distance from Centre of Gravity</t>
  </si>
  <si>
    <t>Hole No.</t>
  </si>
  <si>
    <t>Distance from CG
l (cm)</t>
  </si>
  <si>
    <t>l (cm)
[for graph]</t>
  </si>
  <si>
    <t>Time (1)
20 osc (s)</t>
  </si>
  <si>
    <t>Time (2)
20 osc (s)</t>
  </si>
  <si>
    <t>Mean Time
t (s)</t>
  </si>
  <si>
    <t>Period
T = t/20 (s)</t>
  </si>
  <si>
    <t>T²
(s²)</t>
  </si>
  <si>
    <t>Table 2: End-B — Time Period and Distance from Centre of Gravity</t>
  </si>
  <si>
    <t>Note: Blue cells contain Excel formulas. Column D 'l (cm) [for graph]' uses positive values for End-A (right side of x-axis) and negative values for End-B (left side). T = 1.56 s horizontal reference line is drawn on the graph sheet.</t>
  </si>
  <si>
    <t>l End-A (cm)</t>
  </si>
  <si>
    <t>T End-A (s)</t>
  </si>
  <si>
    <t>l End-B (cm)</t>
  </si>
  <si>
    <t>T End-B (s)</t>
  </si>
  <si>
    <t>Calculation and Result — Compound Pendulum</t>
  </si>
  <si>
    <t>From the T vs l Graph:</t>
  </si>
  <si>
    <t>Length AC (End-A horizontal span)</t>
  </si>
  <si>
    <t>cm</t>
  </si>
  <si>
    <t>Length BD (End-B horizontal span)</t>
  </si>
  <si>
    <t>L = (AC + BD) / 2</t>
  </si>
  <si>
    <t>Time period at horizontal line T</t>
  </si>
  <si>
    <t>s</t>
  </si>
  <si>
    <t>Calculation of g:</t>
  </si>
  <si>
    <t>g = 4π²L / T²  (L in cm → cm/s²)</t>
  </si>
  <si>
    <t>cm/s²</t>
  </si>
  <si>
    <t>g  (in m/s²)</t>
  </si>
  <si>
    <t>m/s²</t>
  </si>
  <si>
    <t>Error Calculation:</t>
  </si>
  <si>
    <t>Standard value of g</t>
  </si>
  <si>
    <t>% Error = |exp − std| / std × 100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</si>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</sst>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1" x14ac:knownFonts="1">
    <font>
      <sz val="11"/>
      <color theme="1"/>
      <name val="Calibri"/>
      <family val="2"/>
      <scheme val="minor"/>
    </font>
    <font>
      <b/>
      <sz val="14"/>
      <color rgb="FF1F3864"/>
      <name val="Arial"/>
    </font>
    <font>
      <i/>
      <sz val="10"/>
      <color rgb="FF595959"/>
      <name val="Arial"/>
    </font>
    <font>
      <b/>
      <sz val="10"/>
      <color rgb="FFFFFFFF"/>
      <name val="Arial"/>
    </font>
    <font>
      <sz val="10"/>
      <name val="Arial"/>
    </font>
    <font>
      <sz val="10"/>
      <color rgb="FF0070C0"/>
      <name val="Arial"/>
    </font>
    <font>
      <i/>
      <sz val="9"/>
      <color rgb="FF595959"/>
      <name val="Arial"/>
    </font>
    <font>
      <b/>
      <sz val="10"/>
      <color rgb="FF1F3864"/>
      <name val="Arial"/>
    </font>
    <font>
      <b/>
      <sz val="11"/>
      <color rgb="FF1F3864"/>
      <name val="Arial"/>
    </font>
    <font>
      <sz val="10"/>
      <color rgb="FF000000"/>
      <name val="Arial"/>
    </font>
    <font>
      <sz val="10"/>
      <color rgb="FF595959"/>
      <name val="Arial"/>
    </font>
  </fonts>
  <fills count="9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EBF3FB"/>
      </patternFill>
    </fill>
    <fill>
      <patternFill patternType="solid">
        <fgColor rgb="FFC00000"/>
      </patternFill>
    </fill>
    <fill>
      <patternFill patternType="solid">
        <fgColor rgb="FFFDEAEA"/>
      </patternFill>
    </fill>
    <fill>
      <patternFill patternType="solid">
        <fgColor rgb="FFBDD7EE"/>
      </patternFill>
    </fill>
    <fill>
      <patternFill patternType="solid">
        <fgColor rgb="FFF4CCCC"/>
      </patternFill>
    </fill>
    <fill>
      <patternFill patternType="solid">
        <fgColor rgb="FFD6E4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64" fontId="5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164" fontId="5" fillId="5" borderId="1" xfId="0" applyNumberFormat="1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0" xfId="0" applyFont="1"/>
    <xf numFmtId="0" fontId="5" fillId="0" borderId="0" xfId="0" applyFont="1"/>
    <xf numFmtId="165" fontId="5" fillId="0" borderId="0" xfId="0" applyNumberFormat="1" applyFont="1"/>
    <xf numFmtId="164" fontId="5" fillId="0" borderId="0" xfId="0" applyNumberFormat="1" applyFont="1"/>
    <xf numFmtId="0" fontId="4" fillId="0" borderId="1" xfId="0" applyFont="1" applyBorder="1"/>
    <xf numFmtId="0" fontId="0" fillId="0" borderId="1" xfId="0" applyBorder="1"/>
    <xf numFmtId="0" fontId="9" fillId="0" borderId="1" xfId="0" applyFont="1" applyBorder="1"/>
    <xf numFmtId="0" fontId="10" fillId="0" borderId="1" xfId="0" applyFont="1" applyBorder="1"/>
    <xf numFmtId="165" fontId="5" fillId="0" borderId="1" xfId="0" applyNumberFormat="1" applyFont="1" applyBorder="1"/>
    <xf numFmtId="2" fontId="5" fillId="0" borderId="1" xfId="0" applyNumberFormat="1" applyFont="1" applyBorder="1"/>
    <xf numFmtId="164" fontId="5" fillId="0" borderId="1" xfId="0" applyNumberFormat="1" applyFont="1" applyBorder="1"/>
    <xf numFmtId="0" fontId="3" fillId="2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64" fontId="4" fillId="6" borderId="1" xfId="0" applyNumberFormat="1" applyFont="1" applyFill="1" applyBorder="1" applyAlignment="1">
      <alignment horizontal="center"/>
    </xf>
    <xf numFmtId="164" fontId="4" fillId="7" borderId="1" xfId="0" applyNumberFormat="1" applyFont="1" applyFill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3" fillId="4" borderId="0" xfId="0" applyFont="1" applyFill="1" applyAlignment="1">
      <alignment horizontal="center" vertical="center" wrapText="1"/>
    </xf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left" wrapText="1"/>
    </xf>
    <xf numFmtId="0" fontId="1" fillId="8" borderId="0" xfId="0" applyFont="1" applyFill="1" applyAlignment="1">
      <alignment horizontal="center" vertical="center" wrapText="1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MY"/>
              <a:t>T vs l  (Time Period vs Distance from Centre of Gravity)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'T vs l Graph'!$C$2</c:f>
              <c:strCache>
                <c:ptCount val="1"/>
                <c:pt idx="0">
                  <c:v>T End-A (s)</c:v>
                </c:pt>
              </c:strCache>
            </c:strRef>
          </c:tx>
          <c:spPr>
            <a:ln w="20000">
              <a:solidFill>
                <a:srgbClr val="2E75B6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c:spPr>
          </c:marker>
          <c:xVal>
            <c:numRef>
              <c:f>'T vs l Graph'!$B$3:$B$9</c:f>
              <c:numCache>
                <c:formatCode>0.000</c:formatCode>
                <c:ptCount val="7"/>
                <c:pt idx="0">
                  <c:v>15</c:v>
                </c:pt>
                <c:pt idx="1">
                  <c:v>20</c:v>
                </c:pt>
                <c:pt idx="2">
                  <c:v>25</c:v>
                </c:pt>
                <c:pt idx="3">
                  <c:v>30</c:v>
                </c:pt>
                <c:pt idx="4">
                  <c:v>35</c:v>
                </c:pt>
                <c:pt idx="5">
                  <c:v>40</c:v>
                </c:pt>
                <c:pt idx="6">
                  <c:v>45</c:v>
                </c:pt>
              </c:numCache>
            </c:numRef>
          </c:xVal>
          <c:yVal>
            <c:numRef>
              <c:f>'T vs l Graph'!$C$3:$C$9</c:f>
              <c:numCache>
                <c:formatCode>0.000</c:formatCode>
                <c:ptCount val="7"/>
                <c:pt idx="0">
                  <c:v>0.85499999999999998</c:v>
                </c:pt>
                <c:pt idx="1">
                  <c:v>0.80100000000000005</c:v>
                </c:pt>
                <c:pt idx="2">
                  <c:v>0.77400000000000002</c:v>
                </c:pt>
                <c:pt idx="3">
                  <c:v>0.76800000000000002</c:v>
                </c:pt>
                <c:pt idx="4">
                  <c:v>0.77</c:v>
                </c:pt>
                <c:pt idx="5">
                  <c:v>0.78600000000000003</c:v>
                </c:pt>
                <c:pt idx="6">
                  <c:v>0.79100000000000004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8AC-41EE-BB00-BCB9CD4FB3F4}"/>
            </c:ext>
          </c:extLst>
        </c:ser>
        <c:ser>
          <c:idx val="1"/>
          <c:order val="1"/>
          <c:tx>
            <c:strRef>
              <c:f>'T vs l Graph'!$F$2</c:f>
              <c:strCache>
                <c:ptCount val="1"/>
                <c:pt idx="0">
                  <c:v>T End-B (s)</c:v>
                </c:pt>
              </c:strCache>
            </c:strRef>
          </c:tx>
          <c:spPr>
            <a:ln w="20000">
              <a:solidFill>
                <a:srgbClr val="C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C00000"/>
              </a:solidFill>
              <a:ln>
                <a:solidFill>
                  <a:srgbClr val="C00000"/>
                </a:solidFill>
                <a:prstDash val="solid"/>
              </a:ln>
            </c:spPr>
          </c:marker>
          <c:xVal>
            <c:numRef>
              <c:f>'T vs l Graph'!$E$3:$E$9</c:f>
              <c:numCache>
                <c:formatCode>0.000</c:formatCode>
                <c:ptCount val="7"/>
                <c:pt idx="0">
                  <c:v>-45</c:v>
                </c:pt>
                <c:pt idx="1">
                  <c:v>-40</c:v>
                </c:pt>
                <c:pt idx="2">
                  <c:v>-35</c:v>
                </c:pt>
                <c:pt idx="3">
                  <c:v>-30</c:v>
                </c:pt>
                <c:pt idx="4">
                  <c:v>-25</c:v>
                </c:pt>
                <c:pt idx="5">
                  <c:v>-20</c:v>
                </c:pt>
                <c:pt idx="6">
                  <c:v>-15</c:v>
                </c:pt>
              </c:numCache>
            </c:numRef>
          </c:xVal>
          <c:yVal>
            <c:numRef>
              <c:f>'T vs l Graph'!$F$3:$F$9</c:f>
              <c:numCache>
                <c:formatCode>0.000</c:formatCode>
                <c:ptCount val="7"/>
                <c:pt idx="0">
                  <c:v>0.80200000000000005</c:v>
                </c:pt>
                <c:pt idx="1">
                  <c:v>0.78500000000000003</c:v>
                </c:pt>
                <c:pt idx="2">
                  <c:v>0.77300000000000002</c:v>
                </c:pt>
                <c:pt idx="3">
                  <c:v>0.77</c:v>
                </c:pt>
                <c:pt idx="4">
                  <c:v>0.76300000000000001</c:v>
                </c:pt>
                <c:pt idx="5">
                  <c:v>0.78200000000000003</c:v>
                </c:pt>
                <c:pt idx="6">
                  <c:v>0.84499999999999997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8AC-41EE-BB00-BCB9CD4FB3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50"/>
          <c:min val="-50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MY"/>
                  <a:t>l  (cm)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1.76"/>
          <c:min val="1.44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MY"/>
                  <a:t>T  (s)</a:t>
                </a:r>
              </a:p>
            </c:rich>
          </c:tx>
          <c:overlay val="1"/>
        </c:title>
        <c:numFmt formatCode="0.000" sourceLinked="0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t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 vs l Graph'!$C$2</c:f>
              <c:strCache>
                <c:ptCount val="1"/>
                <c:pt idx="0">
                  <c:v>T End-A (s)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 vs l Graph'!$B$3:$B$9</c:f>
              <c:numCache>
                <c:formatCode>0.000</c:formatCode>
                <c:ptCount val="7"/>
                <c:pt idx="0">
                  <c:v>15</c:v>
                </c:pt>
                <c:pt idx="1">
                  <c:v>20</c:v>
                </c:pt>
                <c:pt idx="2">
                  <c:v>25</c:v>
                </c:pt>
                <c:pt idx="3">
                  <c:v>30</c:v>
                </c:pt>
                <c:pt idx="4">
                  <c:v>35</c:v>
                </c:pt>
                <c:pt idx="5">
                  <c:v>40</c:v>
                </c:pt>
                <c:pt idx="6">
                  <c:v>45</c:v>
                </c:pt>
              </c:numCache>
            </c:numRef>
          </c:xVal>
          <c:yVal>
            <c:numRef>
              <c:f>'T vs l Graph'!$C$3:$C$9</c:f>
              <c:numCache>
                <c:formatCode>0.000</c:formatCode>
                <c:ptCount val="7"/>
                <c:pt idx="0">
                  <c:v>0.85499999999999998</c:v>
                </c:pt>
                <c:pt idx="1">
                  <c:v>0.80100000000000005</c:v>
                </c:pt>
                <c:pt idx="2">
                  <c:v>0.77400000000000002</c:v>
                </c:pt>
                <c:pt idx="3">
                  <c:v>0.76800000000000002</c:v>
                </c:pt>
                <c:pt idx="4">
                  <c:v>0.77</c:v>
                </c:pt>
                <c:pt idx="5">
                  <c:v>0.78600000000000003</c:v>
                </c:pt>
                <c:pt idx="6">
                  <c:v>0.79100000000000004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D7-4A24-A6FC-479783F11E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2496047"/>
        <c:axId val="642496527"/>
      </c:scatterChart>
      <c:valAx>
        <c:axId val="642496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496527"/>
        <c:crosses val="autoZero"/>
        <c:crossBetween val="midCat"/>
      </c:valAx>
      <c:valAx>
        <c:axId val="642496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496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 vs l Graph'!$F$2</c:f>
              <c:strCache>
                <c:ptCount val="1"/>
                <c:pt idx="0">
                  <c:v>T End-B (s)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 vs l Graph'!$E$3:$E$9</c:f>
              <c:numCache>
                <c:formatCode>0.000</c:formatCode>
                <c:ptCount val="7"/>
                <c:pt idx="0">
                  <c:v>-45</c:v>
                </c:pt>
                <c:pt idx="1">
                  <c:v>-40</c:v>
                </c:pt>
                <c:pt idx="2">
                  <c:v>-35</c:v>
                </c:pt>
                <c:pt idx="3">
                  <c:v>-30</c:v>
                </c:pt>
                <c:pt idx="4">
                  <c:v>-25</c:v>
                </c:pt>
                <c:pt idx="5">
                  <c:v>-20</c:v>
                </c:pt>
                <c:pt idx="6">
                  <c:v>-15</c:v>
                </c:pt>
              </c:numCache>
            </c:numRef>
          </c:xVal>
          <c:yVal>
            <c:numRef>
              <c:f>'T vs l Graph'!$F$3:$F$9</c:f>
              <c:numCache>
                <c:formatCode>0.000</c:formatCode>
                <c:ptCount val="7"/>
                <c:pt idx="0">
                  <c:v>0.80200000000000005</c:v>
                </c:pt>
                <c:pt idx="1">
                  <c:v>0.78500000000000003</c:v>
                </c:pt>
                <c:pt idx="2">
                  <c:v>0.77300000000000002</c:v>
                </c:pt>
                <c:pt idx="3">
                  <c:v>0.77</c:v>
                </c:pt>
                <c:pt idx="4">
                  <c:v>0.76300000000000001</c:v>
                </c:pt>
                <c:pt idx="5">
                  <c:v>0.78200000000000003</c:v>
                </c:pt>
                <c:pt idx="6">
                  <c:v>0.84499999999999997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17-4160-8631-BC7A506163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2457647"/>
        <c:axId val="642451407"/>
      </c:scatterChart>
      <c:valAx>
        <c:axId val="642457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451407"/>
        <c:crosses val="autoZero"/>
        <c:crossBetween val="midCat"/>
      </c:valAx>
      <c:valAx>
        <c:axId val="642451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4576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</xdr:row>
      <xdr:rowOff>0</xdr:rowOff>
    </xdr:from>
    <xdr:ext cx="7920000" cy="57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>
    <xdr:from>
      <xdr:col>4</xdr:col>
      <xdr:colOff>228600</xdr:colOff>
      <xdr:row>10</xdr:row>
      <xdr:rowOff>80010</xdr:rowOff>
    </xdr:from>
    <xdr:to>
      <xdr:col>10</xdr:col>
      <xdr:colOff>556260</xdr:colOff>
      <xdr:row>25</xdr:row>
      <xdr:rowOff>80010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652982B-8B06-7EBF-3791-539D783D35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548640</xdr:colOff>
      <xdr:row>10</xdr:row>
      <xdr:rowOff>64770</xdr:rowOff>
    </xdr:from>
    <xdr:to>
      <xdr:col>18</xdr:col>
      <xdr:colOff>243840</xdr:colOff>
      <xdr:row>25</xdr:row>
      <xdr:rowOff>64770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FAAEFFF-709D-B2ED-399B-8930DC5AF4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26"/>
  <sheetViews>
    <sheetView topLeftCell="A12" workbookViewId="0">
      <selection activeCell="I8" sqref="I8"/>
    </sheetView>
  </sheetViews>
  <sheetFormatPr defaultRowHeight="14.4" x14ac:dyDescent="0.3"/>
  <cols>
    <col min="1" max="1" width="2" customWidth="1"/>
    <col min="2" max="2" width="9" customWidth="1"/>
    <col min="3" max="6" width="14" customWidth="1"/>
    <col min="7" max="8" width="12" customWidth="1"/>
    <col min="9" max="9" width="11" customWidth="1"/>
  </cols>
  <sheetData>
    <row r="2" spans="2:9" x14ac:dyDescent="0.3">
      <c r="B2" s="28" t="s">
        <v>0</v>
      </c>
      <c r="C2" s="27"/>
      <c r="D2" s="27"/>
      <c r="E2" s="27"/>
      <c r="F2" s="27"/>
      <c r="G2" s="27"/>
      <c r="H2" s="27"/>
      <c r="I2" s="27"/>
    </row>
    <row r="3" spans="2:9" x14ac:dyDescent="0.3">
      <c r="B3" s="29" t="s">
        <v>1</v>
      </c>
      <c r="C3" s="27"/>
      <c r="D3" s="27"/>
      <c r="E3" s="27"/>
      <c r="F3" s="27"/>
      <c r="G3" s="27"/>
      <c r="H3" s="27"/>
      <c r="I3" s="27"/>
    </row>
    <row r="5" spans="2:9" x14ac:dyDescent="0.3">
      <c r="B5" s="30" t="s">
        <v>2</v>
      </c>
      <c r="C5" s="27"/>
      <c r="D5" s="27"/>
      <c r="E5" s="27"/>
      <c r="F5" s="27"/>
      <c r="G5" s="27"/>
      <c r="H5" s="27"/>
      <c r="I5" s="27"/>
    </row>
    <row r="6" spans="2:9" ht="36" customHeight="1" x14ac:dyDescent="0.3"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</row>
    <row r="7" spans="2:9" x14ac:dyDescent="0.3">
      <c r="B7" s="2">
        <v>1</v>
      </c>
      <c r="C7" s="2">
        <v>45</v>
      </c>
      <c r="D7" s="2">
        <v>45</v>
      </c>
      <c r="E7" s="2">
        <v>15.72</v>
      </c>
      <c r="F7" s="2">
        <v>15.92</v>
      </c>
      <c r="G7" s="3">
        <f t="shared" ref="G7:G13" si="0">AVERAGE(E7,F7)</f>
        <v>15.82</v>
      </c>
      <c r="H7" s="3">
        <f t="shared" ref="H7:H13" si="1">G7/20</f>
        <v>0.79100000000000004</v>
      </c>
      <c r="I7" s="3">
        <f t="shared" ref="I7:I13" si="2">H7^2</f>
        <v>0.62568100000000004</v>
      </c>
    </row>
    <row r="8" spans="2:9" x14ac:dyDescent="0.3">
      <c r="B8" s="4">
        <v>2</v>
      </c>
      <c r="C8" s="4">
        <v>40</v>
      </c>
      <c r="D8" s="4">
        <v>40</v>
      </c>
      <c r="E8" s="4">
        <v>15.79</v>
      </c>
      <c r="F8" s="4">
        <v>15.65</v>
      </c>
      <c r="G8" s="5">
        <f t="shared" si="0"/>
        <v>15.719999999999999</v>
      </c>
      <c r="H8" s="5">
        <f t="shared" si="1"/>
        <v>0.78599999999999992</v>
      </c>
      <c r="I8" s="5">
        <f t="shared" si="2"/>
        <v>0.6177959999999999</v>
      </c>
    </row>
    <row r="9" spans="2:9" x14ac:dyDescent="0.3">
      <c r="B9" s="2">
        <v>3</v>
      </c>
      <c r="C9" s="2">
        <v>35</v>
      </c>
      <c r="D9" s="2">
        <v>35</v>
      </c>
      <c r="E9" s="2">
        <v>15.66</v>
      </c>
      <c r="F9" s="2">
        <v>15.13</v>
      </c>
      <c r="G9" s="3">
        <f t="shared" si="0"/>
        <v>15.395</v>
      </c>
      <c r="H9" s="3">
        <f t="shared" si="1"/>
        <v>0.76974999999999993</v>
      </c>
      <c r="I9" s="3">
        <f t="shared" si="2"/>
        <v>0.59251506249999986</v>
      </c>
    </row>
    <row r="10" spans="2:9" x14ac:dyDescent="0.3">
      <c r="B10" s="4">
        <v>4</v>
      </c>
      <c r="C10" s="4">
        <v>30</v>
      </c>
      <c r="D10" s="4">
        <v>30</v>
      </c>
      <c r="E10" s="4">
        <v>15.28</v>
      </c>
      <c r="F10" s="4">
        <v>15.43</v>
      </c>
      <c r="G10" s="5">
        <f t="shared" si="0"/>
        <v>15.355</v>
      </c>
      <c r="H10" s="5">
        <f t="shared" si="1"/>
        <v>0.76775000000000004</v>
      </c>
      <c r="I10" s="5">
        <f t="shared" si="2"/>
        <v>0.58944006250000003</v>
      </c>
    </row>
    <row r="11" spans="2:9" x14ac:dyDescent="0.3">
      <c r="B11" s="2">
        <v>5</v>
      </c>
      <c r="C11" s="2">
        <v>25</v>
      </c>
      <c r="D11" s="2">
        <v>25</v>
      </c>
      <c r="E11" s="2">
        <v>15.33</v>
      </c>
      <c r="F11" s="2">
        <v>15.63</v>
      </c>
      <c r="G11" s="3">
        <f t="shared" si="0"/>
        <v>15.48</v>
      </c>
      <c r="H11" s="3">
        <f t="shared" si="1"/>
        <v>0.77400000000000002</v>
      </c>
      <c r="I11" s="3">
        <f t="shared" si="2"/>
        <v>0.59907600000000005</v>
      </c>
    </row>
    <row r="12" spans="2:9" x14ac:dyDescent="0.3">
      <c r="B12" s="4">
        <v>6</v>
      </c>
      <c r="C12" s="4">
        <v>20</v>
      </c>
      <c r="D12" s="4">
        <v>20</v>
      </c>
      <c r="E12" s="4">
        <v>15.81</v>
      </c>
      <c r="F12" s="4">
        <v>16.21</v>
      </c>
      <c r="G12" s="5">
        <f t="shared" si="0"/>
        <v>16.010000000000002</v>
      </c>
      <c r="H12" s="5">
        <f t="shared" si="1"/>
        <v>0.8005000000000001</v>
      </c>
      <c r="I12" s="5">
        <f t="shared" si="2"/>
        <v>0.64080025000000018</v>
      </c>
    </row>
    <row r="13" spans="2:9" x14ac:dyDescent="0.3">
      <c r="B13" s="2">
        <v>7</v>
      </c>
      <c r="C13" s="2">
        <v>15</v>
      </c>
      <c r="D13" s="2">
        <v>15</v>
      </c>
      <c r="E13" s="2">
        <v>17.12</v>
      </c>
      <c r="F13" s="2">
        <v>17.059999999999999</v>
      </c>
      <c r="G13" s="3">
        <f t="shared" si="0"/>
        <v>17.09</v>
      </c>
      <c r="H13" s="3">
        <f t="shared" si="1"/>
        <v>0.85450000000000004</v>
      </c>
      <c r="I13" s="3">
        <f t="shared" si="2"/>
        <v>0.73017025000000002</v>
      </c>
    </row>
    <row r="16" spans="2:9" x14ac:dyDescent="0.3">
      <c r="B16" s="26" t="s">
        <v>11</v>
      </c>
      <c r="C16" s="27"/>
      <c r="D16" s="27"/>
      <c r="E16" s="27"/>
      <c r="F16" s="27"/>
      <c r="G16" s="27"/>
      <c r="H16" s="27"/>
      <c r="I16" s="27"/>
    </row>
    <row r="17" spans="2:9" ht="36" customHeight="1" x14ac:dyDescent="0.3">
      <c r="B17" s="6" t="s">
        <v>3</v>
      </c>
      <c r="C17" s="6" t="s">
        <v>4</v>
      </c>
      <c r="D17" s="6" t="s">
        <v>5</v>
      </c>
      <c r="E17" s="6" t="s">
        <v>6</v>
      </c>
      <c r="F17" s="6" t="s">
        <v>7</v>
      </c>
      <c r="G17" s="6" t="s">
        <v>8</v>
      </c>
      <c r="H17" s="6" t="s">
        <v>9</v>
      </c>
      <c r="I17" s="6" t="s">
        <v>10</v>
      </c>
    </row>
    <row r="18" spans="2:9" x14ac:dyDescent="0.3">
      <c r="B18" s="7">
        <v>1</v>
      </c>
      <c r="C18" s="7">
        <v>45</v>
      </c>
      <c r="D18" s="7">
        <v>-45</v>
      </c>
      <c r="E18" s="7">
        <v>16.05</v>
      </c>
      <c r="F18" s="7">
        <v>16.09</v>
      </c>
      <c r="G18" s="8">
        <f t="shared" ref="G18:G24" si="3">AVERAGE(E18,F18)</f>
        <v>16.07</v>
      </c>
      <c r="H18" s="8">
        <f t="shared" ref="H18:H24" si="4">G18/20</f>
        <v>0.80349999999999999</v>
      </c>
      <c r="I18" s="8">
        <f t="shared" ref="I18:I24" si="5">H18^2</f>
        <v>0.64561225</v>
      </c>
    </row>
    <row r="19" spans="2:9" x14ac:dyDescent="0.3">
      <c r="B19" s="4">
        <v>2</v>
      </c>
      <c r="C19" s="4">
        <v>40</v>
      </c>
      <c r="D19" s="4">
        <v>-40</v>
      </c>
      <c r="E19" s="4">
        <v>15.63</v>
      </c>
      <c r="F19" s="4">
        <v>15.77</v>
      </c>
      <c r="G19" s="5">
        <f t="shared" si="3"/>
        <v>15.7</v>
      </c>
      <c r="H19" s="5">
        <f t="shared" si="4"/>
        <v>0.78499999999999992</v>
      </c>
      <c r="I19" s="5">
        <f t="shared" si="5"/>
        <v>0.61622499999999991</v>
      </c>
    </row>
    <row r="20" spans="2:9" x14ac:dyDescent="0.3">
      <c r="B20" s="7">
        <v>3</v>
      </c>
      <c r="C20" s="7">
        <v>35</v>
      </c>
      <c r="D20" s="7">
        <v>-35</v>
      </c>
      <c r="E20" s="7">
        <v>15.32</v>
      </c>
      <c r="F20" s="7">
        <v>15.6</v>
      </c>
      <c r="G20" s="8">
        <f t="shared" si="3"/>
        <v>15.46</v>
      </c>
      <c r="H20" s="8">
        <f t="shared" si="4"/>
        <v>0.77300000000000002</v>
      </c>
      <c r="I20" s="8">
        <f t="shared" si="5"/>
        <v>0.59752899999999998</v>
      </c>
    </row>
    <row r="21" spans="2:9" x14ac:dyDescent="0.3">
      <c r="B21" s="4">
        <v>4</v>
      </c>
      <c r="C21" s="4">
        <v>30</v>
      </c>
      <c r="D21" s="4">
        <v>-30</v>
      </c>
      <c r="E21" s="4">
        <v>15.34</v>
      </c>
      <c r="F21" s="4">
        <v>15.46</v>
      </c>
      <c r="G21" s="5">
        <f t="shared" si="3"/>
        <v>15.4</v>
      </c>
      <c r="H21" s="5">
        <f t="shared" si="4"/>
        <v>0.77</v>
      </c>
      <c r="I21" s="5">
        <f t="shared" si="5"/>
        <v>0.59289999999999998</v>
      </c>
    </row>
    <row r="22" spans="2:9" x14ac:dyDescent="0.3">
      <c r="B22" s="7">
        <v>5</v>
      </c>
      <c r="C22" s="7">
        <v>25</v>
      </c>
      <c r="D22" s="7">
        <v>-25</v>
      </c>
      <c r="E22" s="7">
        <v>15.28</v>
      </c>
      <c r="F22" s="7">
        <v>15.22</v>
      </c>
      <c r="G22" s="8">
        <f t="shared" si="3"/>
        <v>15.25</v>
      </c>
      <c r="H22" s="8">
        <f t="shared" si="4"/>
        <v>0.76249999999999996</v>
      </c>
      <c r="I22" s="8">
        <f t="shared" si="5"/>
        <v>0.5814062499999999</v>
      </c>
    </row>
    <row r="23" spans="2:9" x14ac:dyDescent="0.3">
      <c r="B23" s="4">
        <v>6</v>
      </c>
      <c r="C23" s="4">
        <v>20</v>
      </c>
      <c r="D23" s="4">
        <v>-20</v>
      </c>
      <c r="E23" s="4">
        <v>15.76</v>
      </c>
      <c r="F23" s="4">
        <v>15.53</v>
      </c>
      <c r="G23" s="5">
        <f t="shared" si="3"/>
        <v>15.645</v>
      </c>
      <c r="H23" s="5">
        <f t="shared" si="4"/>
        <v>0.78225</v>
      </c>
      <c r="I23" s="5">
        <f t="shared" si="5"/>
        <v>0.61191506250000005</v>
      </c>
    </row>
    <row r="24" spans="2:9" x14ac:dyDescent="0.3">
      <c r="B24" s="7">
        <v>7</v>
      </c>
      <c r="C24" s="7">
        <v>15</v>
      </c>
      <c r="D24" s="7">
        <v>-15</v>
      </c>
      <c r="E24" s="7">
        <v>16.829999999999998</v>
      </c>
      <c r="F24" s="7">
        <v>16.97</v>
      </c>
      <c r="G24" s="8">
        <f t="shared" si="3"/>
        <v>16.899999999999999</v>
      </c>
      <c r="H24" s="8">
        <f t="shared" si="4"/>
        <v>0.84499999999999997</v>
      </c>
      <c r="I24" s="8">
        <f t="shared" si="5"/>
        <v>0.71402499999999991</v>
      </c>
    </row>
    <row r="26" spans="2:9" ht="31.95" customHeight="1" x14ac:dyDescent="0.3">
      <c r="B26" s="31" t="s">
        <v>12</v>
      </c>
      <c r="C26" s="27"/>
      <c r="D26" s="27"/>
      <c r="E26" s="27"/>
      <c r="F26" s="27"/>
      <c r="G26" s="27"/>
      <c r="H26" s="27"/>
      <c r="I26" s="27"/>
    </row>
  </sheetData>
  <mergeCells count="5">
    <mergeCell ref="B16:I16"/>
    <mergeCell ref="B2:I2"/>
    <mergeCell ref="B3:I3"/>
    <mergeCell ref="B5:I5"/>
    <mergeCell ref="B26:I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9"/>
  <sheetViews>
    <sheetView tabSelected="1" zoomScale="81" workbookViewId="0">
      <selection activeCell="V7" sqref="V7"/>
    </sheetView>
  </sheetViews>
  <sheetFormatPr defaultRowHeight="14.4" x14ac:dyDescent="0.3"/>
  <cols>
    <col min="2" max="3" width="10" customWidth="1"/>
    <col min="4" max="4" width="3" customWidth="1"/>
    <col min="5" max="6" width="10" customWidth="1"/>
    <col min="7" max="7" width="3" customWidth="1"/>
    <col min="8" max="8" width="18" customWidth="1"/>
    <col min="9" max="9" width="12" customWidth="1"/>
  </cols>
  <sheetData>
    <row r="2" spans="2:9" x14ac:dyDescent="0.3">
      <c r="B2" s="21" t="s">
        <v>13</v>
      </c>
      <c r="C2" s="21" t="s">
        <v>14</v>
      </c>
      <c r="E2" s="22" t="s">
        <v>15</v>
      </c>
      <c r="F2" s="22" t="s">
        <v>16</v>
      </c>
      <c r="H2" s="9"/>
    </row>
    <row r="3" spans="2:9" x14ac:dyDescent="0.3">
      <c r="B3" s="23">
        <v>15</v>
      </c>
      <c r="C3" s="23">
        <v>0.85499999999999998</v>
      </c>
      <c r="E3" s="24">
        <v>-45</v>
      </c>
      <c r="F3" s="24">
        <v>0.80200000000000005</v>
      </c>
      <c r="H3" s="10"/>
      <c r="I3" s="11"/>
    </row>
    <row r="4" spans="2:9" x14ac:dyDescent="0.3">
      <c r="B4" s="25">
        <v>20</v>
      </c>
      <c r="C4" s="25">
        <v>0.80100000000000005</v>
      </c>
      <c r="E4" s="25">
        <v>-40</v>
      </c>
      <c r="F4" s="25">
        <v>0.78500000000000003</v>
      </c>
      <c r="H4" s="10"/>
      <c r="I4" s="11"/>
    </row>
    <row r="5" spans="2:9" x14ac:dyDescent="0.3">
      <c r="B5" s="25">
        <v>25</v>
      </c>
      <c r="C5" s="25">
        <v>0.77400000000000002</v>
      </c>
      <c r="E5" s="25">
        <v>-35</v>
      </c>
      <c r="F5" s="25">
        <v>0.77300000000000002</v>
      </c>
      <c r="H5" s="10"/>
      <c r="I5" s="11"/>
    </row>
    <row r="6" spans="2:9" x14ac:dyDescent="0.3">
      <c r="B6" s="25">
        <v>30</v>
      </c>
      <c r="C6" s="25">
        <v>0.76800000000000002</v>
      </c>
      <c r="E6" s="25">
        <v>-30</v>
      </c>
      <c r="F6" s="25">
        <v>0.77</v>
      </c>
      <c r="H6" s="10"/>
      <c r="I6" s="12"/>
    </row>
    <row r="7" spans="2:9" x14ac:dyDescent="0.3">
      <c r="B7" s="25">
        <v>35</v>
      </c>
      <c r="C7" s="25">
        <v>0.77</v>
      </c>
      <c r="E7" s="25">
        <v>-25</v>
      </c>
      <c r="F7" s="25">
        <v>0.76300000000000001</v>
      </c>
      <c r="H7" s="10"/>
      <c r="I7" s="13"/>
    </row>
    <row r="8" spans="2:9" x14ac:dyDescent="0.3">
      <c r="B8" s="25">
        <v>40</v>
      </c>
      <c r="C8" s="25">
        <v>0.78600000000000003</v>
      </c>
      <c r="E8" s="25">
        <v>-20</v>
      </c>
      <c r="F8" s="25">
        <v>0.78200000000000003</v>
      </c>
      <c r="H8" s="10"/>
      <c r="I8" s="11"/>
    </row>
    <row r="9" spans="2:9" x14ac:dyDescent="0.3">
      <c r="B9" s="25">
        <v>45</v>
      </c>
      <c r="C9" s="25">
        <v>0.79100000000000004</v>
      </c>
      <c r="E9" s="25">
        <v>-15</v>
      </c>
      <c r="F9" s="25">
        <v>0.84499999999999997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16"/>
  <sheetViews>
    <sheetView workbookViewId="0"/>
  </sheetViews>
  <sheetFormatPr defaultRowHeight="14.4" x14ac:dyDescent="0.3"/>
  <cols>
    <col min="1" max="1" width="2" customWidth="1"/>
    <col min="2" max="2" width="38" customWidth="1"/>
    <col min="3" max="3" width="3" customWidth="1"/>
    <col min="4" max="4" width="14" customWidth="1"/>
    <col min="5" max="5" width="10" customWidth="1"/>
    <col min="6" max="6" width="2" customWidth="1"/>
  </cols>
  <sheetData>
    <row r="2" spans="2:6" x14ac:dyDescent="0.3">
      <c r="B2" s="32" t="s">
        <v>17</v>
      </c>
      <c r="C2" s="27"/>
      <c r="D2" s="27"/>
      <c r="E2" s="27"/>
      <c r="F2" s="27"/>
    </row>
    <row r="4" spans="2:6" x14ac:dyDescent="0.3">
      <c r="B4" s="33" t="s">
        <v>18</v>
      </c>
      <c r="C4" s="27"/>
      <c r="D4" s="27"/>
      <c r="E4" s="27"/>
      <c r="F4" s="27"/>
    </row>
    <row r="5" spans="2:6" x14ac:dyDescent="0.3">
      <c r="B5" s="14" t="s">
        <v>19</v>
      </c>
      <c r="C5" s="15"/>
      <c r="D5" s="16">
        <v>62</v>
      </c>
      <c r="E5" s="17" t="s">
        <v>20</v>
      </c>
    </row>
    <row r="6" spans="2:6" x14ac:dyDescent="0.3">
      <c r="B6" s="14" t="s">
        <v>21</v>
      </c>
      <c r="C6" s="15"/>
      <c r="D6" s="16">
        <v>59</v>
      </c>
      <c r="E6" s="17" t="s">
        <v>20</v>
      </c>
    </row>
    <row r="7" spans="2:6" x14ac:dyDescent="0.3">
      <c r="B7" s="14" t="s">
        <v>22</v>
      </c>
      <c r="C7" s="15"/>
      <c r="D7" s="18">
        <f>(D5+D6)/2</f>
        <v>60.5</v>
      </c>
      <c r="E7" s="17" t="s">
        <v>20</v>
      </c>
    </row>
    <row r="8" spans="2:6" x14ac:dyDescent="0.3">
      <c r="B8" s="14" t="s">
        <v>23</v>
      </c>
      <c r="C8" s="15"/>
      <c r="D8" s="16">
        <v>1.56</v>
      </c>
      <c r="E8" s="17" t="s">
        <v>24</v>
      </c>
    </row>
    <row r="10" spans="2:6" x14ac:dyDescent="0.3">
      <c r="B10" s="33" t="s">
        <v>25</v>
      </c>
      <c r="C10" s="27"/>
      <c r="D10" s="27"/>
      <c r="E10" s="27"/>
      <c r="F10" s="27"/>
    </row>
    <row r="11" spans="2:6" x14ac:dyDescent="0.3">
      <c r="B11" s="14" t="s">
        <v>26</v>
      </c>
      <c r="C11" s="15"/>
      <c r="D11" s="19">
        <f>4*PI()^2*D7/D8^2</f>
        <v>981.44488209386282</v>
      </c>
      <c r="E11" s="17" t="s">
        <v>27</v>
      </c>
    </row>
    <row r="12" spans="2:6" x14ac:dyDescent="0.3">
      <c r="B12" s="14" t="s">
        <v>28</v>
      </c>
      <c r="C12" s="15"/>
      <c r="D12" s="20">
        <f>D11/100</f>
        <v>9.8144488209386278</v>
      </c>
      <c r="E12" s="17" t="s">
        <v>29</v>
      </c>
    </row>
    <row r="14" spans="2:6" x14ac:dyDescent="0.3">
      <c r="B14" s="33" t="s">
        <v>30</v>
      </c>
      <c r="C14" s="27"/>
      <c r="D14" s="27"/>
      <c r="E14" s="27"/>
      <c r="F14" s="27"/>
    </row>
    <row r="15" spans="2:6" x14ac:dyDescent="0.3">
      <c r="B15" s="14" t="s">
        <v>31</v>
      </c>
      <c r="C15" s="15"/>
      <c r="D15" s="16">
        <v>980</v>
      </c>
      <c r="E15" s="17" t="s">
        <v>27</v>
      </c>
    </row>
    <row r="16" spans="2:6" x14ac:dyDescent="0.3">
      <c r="B16" s="14" t="s">
        <v>32</v>
      </c>
      <c r="C16" s="15"/>
      <c r="D16" s="19">
        <f>ABS(D11-D15)/D15*100</f>
        <v>0.14743694835334858</v>
      </c>
      <c r="E16" s="17" t="s">
        <v>33</v>
      </c>
    </row>
  </sheetData>
  <mergeCells count="4">
    <mergeCell ref="B2:F2"/>
    <mergeCell ref="B4:F4"/>
    <mergeCell ref="B10:F10"/>
    <mergeCell ref="B14:F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Observation Tables</vt:lpstr>
      <vt:lpstr>T vs l Graph</vt:lpstr>
      <vt:lpstr>Calculation &amp;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PROTTOY ROY</cp:lastModifiedBy>
  <dcterms:created xsi:type="dcterms:W3CDTF">2026-04-17T06:39:05Z</dcterms:created>
  <dcterms:modified xsi:type="dcterms:W3CDTF">2026-04-17T07:31:41Z</dcterms:modified>
</cp:coreProperties>
</file>